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29" codeName="{22E68647-3C60-695B-3CA0-4895CD717B8A}"/>
  <workbookPr codeName="ThisWorkbook" defaultThemeVersion="166925"/>
  <mc:AlternateContent xmlns:mc="http://schemas.openxmlformats.org/markup-compatibility/2006">
    <mc:Choice Requires="x15">
      <x15ac:absPath xmlns:x15ac="http://schemas.microsoft.com/office/spreadsheetml/2010/11/ac" url="D:\Evelyn\Education\CSC 499 - Pharm Internship\Design Documents\WorkingFolder\PharmacyOutreach\"/>
    </mc:Choice>
  </mc:AlternateContent>
  <xr:revisionPtr revIDLastSave="0" documentId="13_ncr:1_{056FECB1-9951-4CB1-8F70-D1C68CD3987B}" xr6:coauthVersionLast="40" xr6:coauthVersionMax="40" xr10:uidLastSave="{00000000-0000-0000-0000-000000000000}"/>
  <bookViews>
    <workbookView minimized="1" xWindow="0" yWindow="0" windowWidth="16790" windowHeight="5970" activeTab="2" xr2:uid="{5369B53C-68C9-49D6-B6B6-AA0BF8C1099D}"/>
  </bookViews>
  <sheets>
    <sheet name="OTC Meds" sheetId="2" r:id="rId1"/>
    <sheet name="Med List" sheetId="3" r:id="rId2"/>
    <sheet name="Med List Review" sheetId="4"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2" i="3" l="1"/>
</calcChain>
</file>

<file path=xl/sharedStrings.xml><?xml version="1.0" encoding="utf-8"?>
<sst xmlns="http://schemas.openxmlformats.org/spreadsheetml/2006/main" count="181" uniqueCount="79">
  <si>
    <t>OTC Meds</t>
  </si>
  <si>
    <t>Takes 1 capsule in the morning.  Increased from 1000 to 2000 units since lab work showed decreased vitamin D levels.  Ever since dose was increased lab work has improved.</t>
  </si>
  <si>
    <t>No</t>
  </si>
  <si>
    <t>yes</t>
  </si>
  <si>
    <t>supplement</t>
  </si>
  <si>
    <t>Vitamin D3 2000 Units</t>
  </si>
  <si>
    <t>Increases drwosiness, takes sparingly, contains benadryl and tylenol.  Can cause confusion.  Check expiration date.  Uses maybe twice a month when needed.</t>
  </si>
  <si>
    <t>N/A</t>
  </si>
  <si>
    <t>Yes</t>
  </si>
  <si>
    <t>sleep aid</t>
  </si>
  <si>
    <t>Tylenol PM</t>
  </si>
  <si>
    <t>Wants to supplement omega-3 because no fish in diet.  On statin and fenofibrate already, may not need to be on this medication.  Recommended to not take every day, take twice a week if necessary.</t>
  </si>
  <si>
    <t>supplementation</t>
  </si>
  <si>
    <t>Omega-3 1000 mg</t>
  </si>
  <si>
    <t>Takes around once a month when needed.  Check expiration date.</t>
  </si>
  <si>
    <t>Constipation</t>
  </si>
  <si>
    <t>Dulcolax</t>
  </si>
  <si>
    <t>Has been taking for more than 5 years.</t>
  </si>
  <si>
    <t>Supplement</t>
  </si>
  <si>
    <t>Centrum Silver 50+</t>
  </si>
  <si>
    <t>Getting duplicate vitamin K from multivitamin and this supplement.  Gets calcium and viatim D from multi-vitamin.  It is also recommended to get most of your calcium from diet and can discontinue this supplement.  Participant eats a well balanced diet.</t>
  </si>
  <si>
    <t>Bone health</t>
  </si>
  <si>
    <t>Calcium 750 mg + Vit D 500 IU + Vit K 40 mcg</t>
  </si>
  <si>
    <t>Inform your doctor if you have any gastrointestinal upset, unusual bruises, or dark stools.  Been on 325 mg aspirin ever since TIA a few years ago.</t>
  </si>
  <si>
    <t>Post-TIA recommendation from doctor</t>
  </si>
  <si>
    <t>Aspirin 325 mg</t>
  </si>
  <si>
    <t>Check expiration date.  Only takes when needed for arthritis pain.  Takes 1 to 2 tablets when needed.  Also on 325 mg daily aspirin which helps with arthritis pain.</t>
  </si>
  <si>
    <t>pain relief</t>
  </si>
  <si>
    <t>Advil 200 mg</t>
  </si>
  <si>
    <t>OTC med comment:</t>
  </si>
  <si>
    <t>Expired:</t>
  </si>
  <si>
    <t>Successful outcome:</t>
  </si>
  <si>
    <t>Adherent:</t>
  </si>
  <si>
    <t>Intended Use:</t>
  </si>
  <si>
    <t>Drug Name:</t>
  </si>
  <si>
    <t>ID</t>
  </si>
  <si>
    <t>Med List</t>
  </si>
  <si>
    <t>Once daily</t>
  </si>
  <si>
    <t>1 cap</t>
  </si>
  <si>
    <t>3350 USP</t>
  </si>
  <si>
    <t>Polyethelyne Glycol powder</t>
  </si>
  <si>
    <t>Diabetes</t>
  </si>
  <si>
    <t>as directed</t>
  </si>
  <si>
    <t>1 injection</t>
  </si>
  <si>
    <t>100 units/1 ml</t>
  </si>
  <si>
    <t>Novolin-R</t>
  </si>
  <si>
    <t>Novolin-N</t>
  </si>
  <si>
    <t>Cholesterol</t>
  </si>
  <si>
    <t>1 Tab</t>
  </si>
  <si>
    <t>40 mg</t>
  </si>
  <si>
    <t>Lovastatin</t>
  </si>
  <si>
    <t>High Blood Pressure</t>
  </si>
  <si>
    <t>Lisinopril</t>
  </si>
  <si>
    <t>145 mg</t>
  </si>
  <si>
    <t>Fenobibrate</t>
  </si>
  <si>
    <t>5 mg</t>
  </si>
  <si>
    <t>Amlodipine</t>
  </si>
  <si>
    <t>Purpose</t>
  </si>
  <si>
    <t>Dosing</t>
  </si>
  <si>
    <t>Unit</t>
  </si>
  <si>
    <t>Strength</t>
  </si>
  <si>
    <t>Drug Name</t>
  </si>
  <si>
    <t>Date</t>
  </si>
  <si>
    <t>ID Number</t>
  </si>
  <si>
    <t>Med List Review</t>
  </si>
  <si>
    <t>Takes at night in watered down orange juice.  This medication is the generic for Miralax and works by attracting water to intestines.  Participant feels it doesn't work as well as it should.</t>
  </si>
  <si>
    <t>once daily</t>
  </si>
  <si>
    <t>Polyethylene Glycol powder</t>
  </si>
  <si>
    <t>Pays cash.  Doses as needed.  Marks the N and R on the boxes to identify which insulin she needs.  Previous hypoglycemic attack from mistaking N with R.  Carries glucose tablets, apple and ginger ale.  Latest A1C was high (after surgery) usually around 8.4.</t>
  </si>
  <si>
    <t>Injects 50 units twice a day, morning and night.  Tests blood sugar 3 times a day, this morning was 85.   Pays cash. Injects 8-10 units of R as directed using same syringe.  Recognizes signs of low blood sugar and carries glucose tablets and snacks.</t>
  </si>
  <si>
    <t>Participant usually takes it in the morning.  This medication will work best if taken with the evening meal or at bedtime.  This medication inhibits production of cholesterol which the body makes at night.</t>
  </si>
  <si>
    <t xml:space="preserve">Takes medication in the morning.  No reports of dizziness when standing/sitting up.  This medication helps to protect the kidneys in people with diabetes.  Try to monitor your blood pressure at least once a month.  </t>
  </si>
  <si>
    <t>No kidney issues, has kidneys checked regularly.  Report to your doctor any unusual muscle achiness and abdominal pain.  When taken with lovastatin the chances of these side effects increase.  Participant takes medication in the morning.</t>
  </si>
  <si>
    <t>Ankle/leg swelling and dizziness are side effects of medication.  Takes medicaion in the morning.  New blood pressure goal is less than 130/80, discuss with your doctor.  Participate in blood pressure csreenings at the center once a month.</t>
  </si>
  <si>
    <t>Rx comment</t>
  </si>
  <si>
    <t>Formulary friendly?</t>
  </si>
  <si>
    <t>Admin correctly?</t>
  </si>
  <si>
    <t>Side effects?</t>
  </si>
  <si>
    <t>Adherent?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</si>
</sst>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sz val="12"/>
      <color theme="1"/>
      <name val="Georgia"/>
      <family val="1"/>
    </font>
    <font>
      <b/>
      <sz val="12"/>
      <color theme="1"/>
      <name val="Georgia"/>
      <family val="1"/>
    </font>
    <font>
      <sz val="14"/>
      <color theme="1"/>
      <name val="Calibri"/>
      <family val="2"/>
      <scheme val="minor"/>
    </font>
  </fonts>
  <fills count="3">
    <fill>
      <patternFill patternType="none"/>
    </fill>
    <fill>
      <patternFill patternType="gray125"/>
    </fill>
    <fill>
      <patternFill patternType="solid">
        <fgColor theme="2" tint="-9.9948118533890809E-2"/>
        <bgColor indexed="64"/>
      </patternFill>
    </fill>
  </fills>
  <borders count="1">
    <border>
      <left/>
      <right/>
      <top/>
      <bottom/>
      <diagonal/>
    </border>
  </borders>
  <cellStyleXfs count="1">
    <xf numFmtId="0" fontId="0" fillId="0" borderId="0"/>
  </cellStyleXfs>
  <cellXfs count="8">
    <xf numFmtId="0" fontId="0" fillId="0" borderId="0" xfId="0"/>
    <xf numFmtId="0" fontId="1" fillId="0" borderId="0" xfId="0" applyFont="1"/>
    <xf numFmtId="0" fontId="1" fillId="0" borderId="0" xfId="0" applyFont="1" applyAlignment="1">
      <alignment wrapText="1"/>
    </xf>
    <xf numFmtId="0" fontId="2" fillId="2" borderId="0" xfId="0" applyFont="1" applyFill="1"/>
    <xf numFmtId="0" fontId="2" fillId="2" borderId="0" xfId="0" applyFont="1" applyFill="1" applyAlignment="1">
      <alignment wrapText="1"/>
    </xf>
    <xf numFmtId="14" fontId="0" fillId="0" borderId="0" xfId="0" applyNumberFormat="1"/>
    <xf numFmtId="0" fontId="3" fillId="2" borderId="0" xfId="0" applyFont="1" applyFill="1"/>
    <xf numFmtId="0" fontId="0" fillId="0" borderId="0" xfId="0" applyAlignment="1">
      <alignment wrapText="1"/>
    </xf>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93562878-C698-4CF9-9B7B-3258D506E1B1}">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8630DF-B067-4657-B8A2-466295AB071E}">
  <sheetPr codeName="Sheet2"/>
  <dimension ref="A1:G10"/>
  <sheetViews>
    <sheetView zoomScale="50" zoomScaleNormal="50" workbookViewId="0">
      <pane ySplit="1" topLeftCell="A2" activePane="bottomLeft" state="frozen"/>
      <selection activeCell="C1" sqref="C1"/>
      <selection pane="bottomLeft" activeCell="A11" sqref="A11"/>
    </sheetView>
  </sheetViews>
  <sheetFormatPr defaultRowHeight="15.5" x14ac:dyDescent="0.35"/>
  <cols>
    <col min="1" max="1" width="17.7265625" style="1" bestFit="1" customWidth="1"/>
    <col min="2" max="2" width="23.453125" style="1" customWidth="1"/>
    <col min="3" max="3" width="33.54296875" style="1" bestFit="1" customWidth="1"/>
    <col min="4" max="4" width="11.54296875" style="1" bestFit="1" customWidth="1"/>
    <col min="5" max="5" width="17.90625" style="1" customWidth="1"/>
    <col min="6" max="6" width="9.54296875" style="1" bestFit="1" customWidth="1"/>
    <col min="7" max="7" width="26.1796875" style="1" customWidth="1"/>
    <col min="8" max="16384" width="8.7265625" style="1"/>
  </cols>
  <sheetData>
    <row r="1" spans="1:7" s="3" customFormat="1" ht="31" x14ac:dyDescent="0.35">
      <c r="A1" s="3" t="s">
        <v>35</v>
      </c>
      <c r="B1" s="3" t="s">
        <v>34</v>
      </c>
      <c r="C1" s="3" t="s">
        <v>33</v>
      </c>
      <c r="D1" s="3" t="s">
        <v>32</v>
      </c>
      <c r="E1" s="4" t="s">
        <v>31</v>
      </c>
      <c r="F1" s="3" t="s">
        <v>30</v>
      </c>
      <c r="G1" s="3" t="s">
        <v>29</v>
      </c>
    </row>
    <row r="2" spans="1:7" ht="108.5" x14ac:dyDescent="0.35">
      <c r="A2" s="1">
        <v>1525182888</v>
      </c>
      <c r="B2" s="1" t="s">
        <v>28</v>
      </c>
      <c r="C2" s="1" t="s">
        <v>27</v>
      </c>
      <c r="D2" s="1" t="s">
        <v>3</v>
      </c>
      <c r="E2" s="1" t="s">
        <v>3</v>
      </c>
      <c r="F2" s="1" t="s">
        <v>7</v>
      </c>
      <c r="G2" s="2" t="s">
        <v>26</v>
      </c>
    </row>
    <row r="3" spans="1:7" ht="93" x14ac:dyDescent="0.35">
      <c r="B3" s="1" t="s">
        <v>25</v>
      </c>
      <c r="C3" s="1" t="s">
        <v>24</v>
      </c>
      <c r="D3" s="1" t="s">
        <v>3</v>
      </c>
      <c r="E3" s="1" t="s">
        <v>3</v>
      </c>
      <c r="F3" s="1" t="s">
        <v>2</v>
      </c>
      <c r="G3" s="2" t="s">
        <v>23</v>
      </c>
    </row>
    <row r="4" spans="1:7" ht="170.5" x14ac:dyDescent="0.35">
      <c r="B4" s="2" t="s">
        <v>22</v>
      </c>
      <c r="C4" s="1" t="s">
        <v>21</v>
      </c>
      <c r="D4" s="1" t="s">
        <v>8</v>
      </c>
      <c r="E4" s="1" t="s">
        <v>8</v>
      </c>
      <c r="F4" s="1" t="s">
        <v>8</v>
      </c>
      <c r="G4" s="2" t="s">
        <v>20</v>
      </c>
    </row>
    <row r="5" spans="1:7" ht="31" x14ac:dyDescent="0.35">
      <c r="B5" s="1" t="s">
        <v>19</v>
      </c>
      <c r="C5" s="1" t="s">
        <v>18</v>
      </c>
      <c r="D5" s="1" t="s">
        <v>8</v>
      </c>
      <c r="E5" s="1" t="s">
        <v>8</v>
      </c>
      <c r="F5" s="1" t="s">
        <v>2</v>
      </c>
      <c r="G5" s="2" t="s">
        <v>17</v>
      </c>
    </row>
    <row r="6" spans="1:7" ht="46.5" x14ac:dyDescent="0.35">
      <c r="B6" s="1" t="s">
        <v>16</v>
      </c>
      <c r="C6" s="1" t="s">
        <v>15</v>
      </c>
      <c r="D6" s="1" t="s">
        <v>8</v>
      </c>
      <c r="E6" s="1" t="s">
        <v>8</v>
      </c>
      <c r="F6" s="1" t="s">
        <v>7</v>
      </c>
      <c r="G6" s="2" t="s">
        <v>14</v>
      </c>
    </row>
    <row r="7" spans="1:7" ht="139.5" x14ac:dyDescent="0.35">
      <c r="B7" s="1" t="s">
        <v>13</v>
      </c>
      <c r="C7" s="1" t="s">
        <v>12</v>
      </c>
      <c r="D7" s="1" t="s">
        <v>8</v>
      </c>
      <c r="E7" s="1" t="s">
        <v>8</v>
      </c>
      <c r="F7" s="1" t="s">
        <v>2</v>
      </c>
      <c r="G7" s="2" t="s">
        <v>11</v>
      </c>
    </row>
    <row r="8" spans="1:7" ht="108.5" x14ac:dyDescent="0.35">
      <c r="B8" s="1" t="s">
        <v>10</v>
      </c>
      <c r="C8" s="1" t="s">
        <v>9</v>
      </c>
      <c r="D8" s="1" t="s">
        <v>8</v>
      </c>
      <c r="E8" s="1" t="s">
        <v>8</v>
      </c>
      <c r="F8" s="1" t="s">
        <v>7</v>
      </c>
      <c r="G8" s="2" t="s">
        <v>6</v>
      </c>
    </row>
    <row r="9" spans="1:7" ht="124" x14ac:dyDescent="0.35">
      <c r="B9" s="1" t="s">
        <v>5</v>
      </c>
      <c r="C9" s="1" t="s">
        <v>4</v>
      </c>
      <c r="D9" s="1" t="s">
        <v>3</v>
      </c>
      <c r="E9" s="1" t="s">
        <v>3</v>
      </c>
      <c r="F9" s="1" t="s">
        <v>2</v>
      </c>
      <c r="G9" s="2" t="s">
        <v>1</v>
      </c>
    </row>
    <row r="10" spans="1:7" x14ac:dyDescent="0.35">
      <c r="A10" s="1" t="s">
        <v>0</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E8523-285E-4216-B270-650C68EC5F72}">
  <sheetPr codeName="Sheet3"/>
  <dimension ref="A1:G10"/>
  <sheetViews>
    <sheetView workbookViewId="0">
      <pane ySplit="1" topLeftCell="A2" activePane="bottomLeft" state="frozen"/>
      <selection pane="bottomLeft" activeCell="A10" sqref="A10"/>
    </sheetView>
  </sheetViews>
  <sheetFormatPr defaultRowHeight="14.5" x14ac:dyDescent="0.35"/>
  <cols>
    <col min="1" max="1" width="18.1796875" customWidth="1"/>
    <col min="3" max="3" width="24.08984375" bestFit="1" customWidth="1"/>
    <col min="4" max="4" width="12.7265625" bestFit="1" customWidth="1"/>
    <col min="5" max="5" width="9.36328125" bestFit="1" customWidth="1"/>
    <col min="6" max="6" width="9.90625" bestFit="1" customWidth="1"/>
    <col min="7" max="7" width="17.6328125" customWidth="1"/>
  </cols>
  <sheetData>
    <row r="1" spans="1:7" s="6" customFormat="1" ht="18.5" x14ac:dyDescent="0.45">
      <c r="A1" s="6" t="s">
        <v>63</v>
      </c>
      <c r="B1" s="6" t="s">
        <v>62</v>
      </c>
      <c r="C1" s="6" t="s">
        <v>61</v>
      </c>
      <c r="D1" s="6" t="s">
        <v>60</v>
      </c>
      <c r="E1" s="6" t="s">
        <v>59</v>
      </c>
      <c r="F1" s="6" t="s">
        <v>58</v>
      </c>
      <c r="G1" s="6" t="s">
        <v>57</v>
      </c>
    </row>
    <row r="2" spans="1:7" x14ac:dyDescent="0.35">
      <c r="A2">
        <v>1525182888</v>
      </c>
      <c r="B2" s="5">
        <f>DATE(2018,5,1)</f>
        <v>43221</v>
      </c>
      <c r="C2" t="s">
        <v>56</v>
      </c>
      <c r="D2" t="s">
        <v>55</v>
      </c>
      <c r="E2" t="s">
        <v>48</v>
      </c>
      <c r="F2" t="s">
        <v>37</v>
      </c>
      <c r="G2" t="s">
        <v>51</v>
      </c>
    </row>
    <row r="3" spans="1:7" x14ac:dyDescent="0.35">
      <c r="C3" t="s">
        <v>54</v>
      </c>
      <c r="D3" t="s">
        <v>53</v>
      </c>
      <c r="E3" t="s">
        <v>48</v>
      </c>
      <c r="F3" t="s">
        <v>37</v>
      </c>
      <c r="G3" t="s">
        <v>47</v>
      </c>
    </row>
    <row r="4" spans="1:7" x14ac:dyDescent="0.35">
      <c r="C4" t="s">
        <v>52</v>
      </c>
      <c r="D4" t="s">
        <v>49</v>
      </c>
      <c r="E4" t="s">
        <v>48</v>
      </c>
      <c r="F4" t="s">
        <v>37</v>
      </c>
      <c r="G4" t="s">
        <v>51</v>
      </c>
    </row>
    <row r="5" spans="1:7" x14ac:dyDescent="0.35">
      <c r="C5" t="s">
        <v>50</v>
      </c>
      <c r="D5" t="s">
        <v>49</v>
      </c>
      <c r="E5" t="s">
        <v>48</v>
      </c>
      <c r="F5" t="s">
        <v>37</v>
      </c>
      <c r="G5" t="s">
        <v>47</v>
      </c>
    </row>
    <row r="6" spans="1:7" x14ac:dyDescent="0.35">
      <c r="C6" t="s">
        <v>46</v>
      </c>
      <c r="D6" t="s">
        <v>44</v>
      </c>
      <c r="E6" t="s">
        <v>43</v>
      </c>
      <c r="F6" t="s">
        <v>42</v>
      </c>
      <c r="G6" t="s">
        <v>41</v>
      </c>
    </row>
    <row r="7" spans="1:7" x14ac:dyDescent="0.35">
      <c r="C7" t="s">
        <v>45</v>
      </c>
      <c r="D7" t="s">
        <v>44</v>
      </c>
      <c r="E7" t="s">
        <v>43</v>
      </c>
      <c r="F7" t="s">
        <v>42</v>
      </c>
      <c r="G7" t="s">
        <v>41</v>
      </c>
    </row>
    <row r="8" spans="1:7" x14ac:dyDescent="0.35">
      <c r="C8" t="s">
        <v>40</v>
      </c>
      <c r="D8" t="s">
        <v>39</v>
      </c>
      <c r="E8" t="s">
        <v>38</v>
      </c>
      <c r="F8" t="s">
        <v>37</v>
      </c>
      <c r="G8" t="s">
        <v>15</v>
      </c>
    </row>
    <row r="10" spans="1:7" x14ac:dyDescent="0.35">
      <c r="A10" t="s">
        <v>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CD911-DED0-47FA-B5CC-1C6C4974C5A8}">
  <sheetPr codeName="Sheet4"/>
  <dimension ref="A1:K10"/>
  <sheetViews>
    <sheetView tabSelected="1" zoomScaleNormal="100" workbookViewId="0">
      <pane ySplit="1" topLeftCell="A8" activePane="bottomLeft" state="frozen"/>
      <selection pane="bottomLeft" activeCell="A9" sqref="A9"/>
    </sheetView>
  </sheetViews>
  <sheetFormatPr defaultRowHeight="14.5" x14ac:dyDescent="0.35"/>
  <cols>
    <col min="1" max="1" width="10.81640625" bestFit="1" customWidth="1"/>
    <col min="2" max="2" width="24.08984375" bestFit="1" customWidth="1"/>
    <col min="3" max="3" width="12.7265625" bestFit="1" customWidth="1"/>
    <col min="5" max="5" width="9.90625" bestFit="1" customWidth="1"/>
    <col min="6" max="6" width="17.6328125" bestFit="1" customWidth="1"/>
    <col min="7" max="7" width="12" bestFit="1" customWidth="1"/>
    <col min="8" max="8" width="14.26953125" bestFit="1" customWidth="1"/>
    <col min="9" max="9" width="18.81640625" bestFit="1" customWidth="1"/>
    <col min="10" max="10" width="21.6328125" bestFit="1" customWidth="1"/>
    <col min="11" max="11" width="31.1796875" customWidth="1"/>
  </cols>
  <sheetData>
    <row r="1" spans="1:11" s="6" customFormat="1" ht="18.5" x14ac:dyDescent="0.45">
      <c r="A1" s="6" t="s">
        <v>35</v>
      </c>
      <c r="B1" s="6" t="s">
        <v>61</v>
      </c>
      <c r="C1" s="6" t="s">
        <v>60</v>
      </c>
      <c r="D1" s="6" t="s">
        <v>59</v>
      </c>
      <c r="E1" s="6" t="s">
        <v>58</v>
      </c>
      <c r="F1" s="6" t="s">
        <v>57</v>
      </c>
      <c r="G1" s="6" t="s">
        <v>78</v>
      </c>
      <c r="H1" s="6" t="s">
        <v>77</v>
      </c>
      <c r="I1" s="6" t="s">
        <v>76</v>
      </c>
      <c r="J1" s="6" t="s">
        <v>75</v>
      </c>
      <c r="K1" s="6" t="s">
        <v>74</v>
      </c>
    </row>
    <row r="2" spans="1:11" ht="116" x14ac:dyDescent="0.35">
      <c r="A2">
        <v>1525182888</v>
      </c>
      <c r="B2" t="s">
        <v>56</v>
      </c>
      <c r="C2" t="s">
        <v>55</v>
      </c>
      <c r="D2" t="s">
        <v>48</v>
      </c>
      <c r="E2" t="s">
        <v>66</v>
      </c>
      <c r="F2" t="s">
        <v>51</v>
      </c>
      <c r="G2" t="s">
        <v>8</v>
      </c>
      <c r="H2" t="s">
        <v>2</v>
      </c>
      <c r="I2" t="s">
        <v>8</v>
      </c>
      <c r="J2" t="s">
        <v>8</v>
      </c>
      <c r="K2" s="7" t="s">
        <v>73</v>
      </c>
    </row>
    <row r="3" spans="1:11" ht="101.5" x14ac:dyDescent="0.35">
      <c r="B3" t="s">
        <v>54</v>
      </c>
      <c r="C3" t="s">
        <v>53</v>
      </c>
      <c r="D3" t="s">
        <v>48</v>
      </c>
      <c r="E3" t="s">
        <v>66</v>
      </c>
      <c r="F3" t="s">
        <v>47</v>
      </c>
      <c r="G3" t="s">
        <v>8</v>
      </c>
      <c r="H3" t="s">
        <v>2</v>
      </c>
      <c r="I3" t="s">
        <v>8</v>
      </c>
      <c r="J3" t="s">
        <v>8</v>
      </c>
      <c r="K3" s="7" t="s">
        <v>72</v>
      </c>
    </row>
    <row r="4" spans="1:11" ht="101.5" x14ac:dyDescent="0.35">
      <c r="B4" t="s">
        <v>52</v>
      </c>
      <c r="C4" t="s">
        <v>49</v>
      </c>
      <c r="D4" t="s">
        <v>48</v>
      </c>
      <c r="E4" t="s">
        <v>66</v>
      </c>
      <c r="F4" t="s">
        <v>51</v>
      </c>
      <c r="G4" t="s">
        <v>8</v>
      </c>
      <c r="H4" t="s">
        <v>2</v>
      </c>
      <c r="I4" t="s">
        <v>8</v>
      </c>
      <c r="J4" t="s">
        <v>8</v>
      </c>
      <c r="K4" s="7" t="s">
        <v>71</v>
      </c>
    </row>
    <row r="5" spans="1:11" ht="87" x14ac:dyDescent="0.35">
      <c r="B5" t="s">
        <v>50</v>
      </c>
      <c r="C5" t="s">
        <v>49</v>
      </c>
      <c r="D5" t="s">
        <v>48</v>
      </c>
      <c r="E5" t="s">
        <v>66</v>
      </c>
      <c r="F5" t="s">
        <v>47</v>
      </c>
      <c r="G5" t="s">
        <v>8</v>
      </c>
      <c r="H5" t="s">
        <v>2</v>
      </c>
      <c r="I5" t="s">
        <v>8</v>
      </c>
      <c r="J5" t="s">
        <v>8</v>
      </c>
      <c r="K5" s="7" t="s">
        <v>70</v>
      </c>
    </row>
    <row r="7" spans="1:11" ht="116" x14ac:dyDescent="0.35">
      <c r="B7" t="s">
        <v>46</v>
      </c>
      <c r="C7" t="s">
        <v>44</v>
      </c>
      <c r="D7" t="s">
        <v>43</v>
      </c>
      <c r="E7" t="s">
        <v>42</v>
      </c>
      <c r="F7" t="s">
        <v>41</v>
      </c>
      <c r="G7" t="s">
        <v>8</v>
      </c>
      <c r="H7" t="s">
        <v>2</v>
      </c>
      <c r="I7" t="s">
        <v>8</v>
      </c>
      <c r="J7" t="s">
        <v>2</v>
      </c>
      <c r="K7" s="7" t="s">
        <v>69</v>
      </c>
    </row>
    <row r="8" spans="1:11" ht="116" x14ac:dyDescent="0.35">
      <c r="B8" t="s">
        <v>45</v>
      </c>
      <c r="C8" t="s">
        <v>44</v>
      </c>
      <c r="D8" t="s">
        <v>43</v>
      </c>
      <c r="E8" t="s">
        <v>42</v>
      </c>
      <c r="F8" t="s">
        <v>41</v>
      </c>
      <c r="G8" t="s">
        <v>8</v>
      </c>
      <c r="H8" t="s">
        <v>2</v>
      </c>
      <c r="I8" t="s">
        <v>8</v>
      </c>
      <c r="J8" t="s">
        <v>2</v>
      </c>
      <c r="K8" s="7" t="s">
        <v>68</v>
      </c>
    </row>
    <row r="9" spans="1:11" ht="87" x14ac:dyDescent="0.35">
      <c r="B9" t="s">
        <v>67</v>
      </c>
      <c r="C9" t="s">
        <v>39</v>
      </c>
      <c r="D9" t="s">
        <v>38</v>
      </c>
      <c r="E9" t="s">
        <v>66</v>
      </c>
      <c r="F9" t="s">
        <v>15</v>
      </c>
      <c r="G9" t="s">
        <v>8</v>
      </c>
      <c r="H9" t="s">
        <v>2</v>
      </c>
      <c r="I9" t="s">
        <v>8</v>
      </c>
      <c r="J9" t="s">
        <v>8</v>
      </c>
      <c r="K9" s="7" t="s">
        <v>65</v>
      </c>
    </row>
    <row r="10" spans="1:11" x14ac:dyDescent="0.35">
      <c r="A10" t="s">
        <v>64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4A134CD-306F-4AC6-BD32-3338359BB3B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OTC Meds</vt:lpstr>
      <vt:lpstr>Med List</vt:lpstr>
      <vt:lpstr>Med List Review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evelyn</dc:creator>
  <cp:lastModifiedBy>Administrator</cp:lastModifiedBy>
  <dcterms:created xsi:type="dcterms:W3CDTF">2018-08-21T15:03:28Z</dcterms:created>
  <dcterms:modified xsi:type="dcterms:W3CDTF">2018-12-30T01:52:42Z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3cb4011e-cb65-4296-a32a-7e1566be9f64</vt:lpwstr>
  </property>
</Properties>
</file>